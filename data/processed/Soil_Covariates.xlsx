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_PhD_CIENCIAS_AGRARIAS\7_CAPÍTULOS_TESIS\CAPÍTULO_I\1_MEDICIONES_SUELOS\LECTURAS_PTO_LOPEZ_PTO_GAITAN_CORREGIDAS\SOIL_COVARIATES\"/>
    </mc:Choice>
  </mc:AlternateContent>
  <xr:revisionPtr revIDLastSave="0" documentId="13_ncr:1_{CF938C86-7EEE-4D8A-8545-497C4C0C4857}" xr6:coauthVersionLast="47" xr6:coauthVersionMax="47" xr10:uidLastSave="{00000000-0000-0000-0000-000000000000}"/>
  <bookViews>
    <workbookView xWindow="-120" yWindow="-120" windowWidth="20730" windowHeight="11160" xr2:uid="{2703E034-8EA4-4C0F-9605-230B69F90B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2" i="1"/>
  <c r="M3" i="1"/>
  <c r="M4" i="1"/>
  <c r="M5" i="1"/>
  <c r="M6" i="1"/>
  <c r="M7" i="1"/>
  <c r="M8" i="1"/>
  <c r="M9" i="1"/>
  <c r="M10" i="1"/>
  <c r="M11" i="1"/>
  <c r="M12" i="1"/>
  <c r="M2" i="1"/>
</calcChain>
</file>

<file path=xl/sharedStrings.xml><?xml version="1.0" encoding="utf-8"?>
<sst xmlns="http://schemas.openxmlformats.org/spreadsheetml/2006/main" count="76" uniqueCount="32">
  <si>
    <t>Muestra ID</t>
  </si>
  <si>
    <t>Sitio</t>
  </si>
  <si>
    <t>Sheefer</t>
  </si>
  <si>
    <t>Las Nubes</t>
  </si>
  <si>
    <t>Carimagua</t>
  </si>
  <si>
    <t>OX</t>
  </si>
  <si>
    <t>Sistema Agroforestal</t>
  </si>
  <si>
    <t>Brachiara dictyoneura</t>
  </si>
  <si>
    <t>Altiplanicie</t>
  </si>
  <si>
    <t>A</t>
  </si>
  <si>
    <t>AB</t>
  </si>
  <si>
    <t>Ap</t>
  </si>
  <si>
    <t>Bw</t>
  </si>
  <si>
    <t>Bo2</t>
  </si>
  <si>
    <t>Order</t>
  </si>
  <si>
    <t>Coverage</t>
  </si>
  <si>
    <t>Landscape</t>
  </si>
  <si>
    <t>Longitude</t>
  </si>
  <si>
    <t>Latitude</t>
  </si>
  <si>
    <t>Altitude</t>
  </si>
  <si>
    <t>Horizon</t>
  </si>
  <si>
    <t>pH_colorimetric_field</t>
  </si>
  <si>
    <t>Bo1</t>
  </si>
  <si>
    <t>Clay</t>
  </si>
  <si>
    <t>Sup. Limit</t>
  </si>
  <si>
    <t>Inferior Limit</t>
  </si>
  <si>
    <t>Bulk density</t>
  </si>
  <si>
    <t>SOC_total_lab</t>
  </si>
  <si>
    <t>Tsample_paste</t>
  </si>
  <si>
    <t>Depthmid​</t>
  </si>
  <si>
    <t>Thickness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</si>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</sst>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CDF9-AA19-4585-9674-293A15BB24AC}">
  <dimension ref="A1:R12"/>
  <sheetViews>
    <sheetView tabSelected="1" zoomScale="90" zoomScaleNormal="90" workbookViewId="0">
      <selection activeCell="I17" sqref="I17"/>
    </sheetView>
  </sheetViews>
  <sheetFormatPr baseColWidth="10" defaultRowHeight="15" x14ac:dyDescent="0.25"/>
  <cols>
    <col min="1" max="1" width="10.42578125" customWidth="1"/>
    <col min="2" max="2" width="10.7109375" bestFit="1" customWidth="1"/>
    <col min="3" max="3" width="6" bestFit="1" customWidth="1"/>
    <col min="4" max="4" width="20.7109375" customWidth="1"/>
    <col min="5" max="5" width="11" bestFit="1" customWidth="1"/>
    <col min="6" max="6" width="11.7109375" bestFit="1" customWidth="1"/>
    <col min="7" max="7" width="10" bestFit="1" customWidth="1"/>
    <col min="8" max="8" width="7.7109375" bestFit="1" customWidth="1"/>
    <col min="9" max="9" width="8.42578125" bestFit="1" customWidth="1"/>
    <col min="10" max="10" width="9.5703125" bestFit="1" customWidth="1"/>
    <col min="11" max="11" width="12.140625" bestFit="1" customWidth="1"/>
    <col min="12" max="13" width="12.140625" customWidth="1"/>
    <col min="14" max="14" width="6.7109375" bestFit="1" customWidth="1"/>
    <col min="15" max="15" width="11.5703125" bestFit="1" customWidth="1"/>
    <col min="16" max="16" width="13.140625" bestFit="1" customWidth="1"/>
    <col min="17" max="17" width="19.85546875" bestFit="1" customWidth="1"/>
    <col min="18" max="18" width="14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24</v>
      </c>
      <c r="K1" s="1" t="s">
        <v>25</v>
      </c>
      <c r="L1" s="1" t="s">
        <v>29</v>
      </c>
      <c r="M1" s="1" t="s">
        <v>30</v>
      </c>
      <c r="N1" s="1" t="s">
        <v>23</v>
      </c>
      <c r="O1" s="1" t="s">
        <v>26</v>
      </c>
      <c r="P1" s="1" t="s">
        <v>27</v>
      </c>
      <c r="Q1" s="1" t="s">
        <v>21</v>
      </c>
      <c r="R1" s="1" t="s">
        <v>28</v>
      </c>
    </row>
    <row r="2" spans="1:18" x14ac:dyDescent="0.25">
      <c r="A2">
        <v>1</v>
      </c>
      <c r="B2" t="s">
        <v>2</v>
      </c>
      <c r="C2" t="s">
        <v>5</v>
      </c>
      <c r="D2" t="s">
        <v>7</v>
      </c>
      <c r="E2" t="s">
        <v>8</v>
      </c>
      <c r="F2">
        <v>-70.966902000000005</v>
      </c>
      <c r="G2">
        <v>4.7074749999999996</v>
      </c>
      <c r="H2">
        <v>167</v>
      </c>
      <c r="I2" t="s">
        <v>22</v>
      </c>
      <c r="J2">
        <v>30</v>
      </c>
      <c r="K2">
        <v>80</v>
      </c>
      <c r="L2">
        <f>+(K2+J2)/2</f>
        <v>55</v>
      </c>
      <c r="M2">
        <f>+K2-J2</f>
        <v>50</v>
      </c>
      <c r="N2">
        <v>51.5</v>
      </c>
      <c r="O2">
        <v>1.56</v>
      </c>
      <c r="P2">
        <v>0.47</v>
      </c>
      <c r="Q2">
        <v>4</v>
      </c>
      <c r="R2">
        <v>19.5</v>
      </c>
    </row>
    <row r="3" spans="1:18" x14ac:dyDescent="0.25">
      <c r="A3">
        <v>2</v>
      </c>
      <c r="B3" t="s">
        <v>2</v>
      </c>
      <c r="C3" t="s">
        <v>5</v>
      </c>
      <c r="D3" t="s">
        <v>7</v>
      </c>
      <c r="E3" t="s">
        <v>8</v>
      </c>
      <c r="F3">
        <v>-70.966902000000005</v>
      </c>
      <c r="G3">
        <v>4.7074749999999996</v>
      </c>
      <c r="H3">
        <v>167</v>
      </c>
      <c r="I3" t="s">
        <v>13</v>
      </c>
      <c r="J3">
        <v>80</v>
      </c>
      <c r="K3">
        <v>130</v>
      </c>
      <c r="L3">
        <f t="shared" ref="L3:L12" si="0">+(K3+J3)/2</f>
        <v>105</v>
      </c>
      <c r="M3">
        <f t="shared" ref="M3:M12" si="1">+K3-J3</f>
        <v>50</v>
      </c>
      <c r="N3">
        <v>56.06</v>
      </c>
      <c r="O3">
        <v>1.52</v>
      </c>
      <c r="P3">
        <v>0.28999999999999998</v>
      </c>
      <c r="Q3">
        <v>4</v>
      </c>
      <c r="R3">
        <v>18.899999999999999</v>
      </c>
    </row>
    <row r="4" spans="1:18" x14ac:dyDescent="0.25">
      <c r="A4">
        <v>3</v>
      </c>
      <c r="B4" t="s">
        <v>2</v>
      </c>
      <c r="C4" t="s">
        <v>5</v>
      </c>
      <c r="D4" t="s">
        <v>7</v>
      </c>
      <c r="E4" t="s">
        <v>8</v>
      </c>
      <c r="F4">
        <v>-70.966902000000005</v>
      </c>
      <c r="G4">
        <v>4.7074749999999996</v>
      </c>
      <c r="H4">
        <v>167</v>
      </c>
      <c r="I4" t="s">
        <v>10</v>
      </c>
      <c r="J4">
        <v>14</v>
      </c>
      <c r="K4">
        <v>30</v>
      </c>
      <c r="L4">
        <f t="shared" si="0"/>
        <v>22</v>
      </c>
      <c r="M4">
        <f t="shared" si="1"/>
        <v>16</v>
      </c>
      <c r="N4">
        <v>43.12</v>
      </c>
      <c r="O4">
        <v>1.42</v>
      </c>
      <c r="P4">
        <v>1.05</v>
      </c>
      <c r="Q4">
        <v>4</v>
      </c>
      <c r="R4">
        <v>18.600000000000001</v>
      </c>
    </row>
    <row r="5" spans="1:18" x14ac:dyDescent="0.25">
      <c r="A5">
        <v>4</v>
      </c>
      <c r="B5" t="s">
        <v>2</v>
      </c>
      <c r="C5" t="s">
        <v>5</v>
      </c>
      <c r="D5" t="s">
        <v>7</v>
      </c>
      <c r="E5" t="s">
        <v>8</v>
      </c>
      <c r="F5">
        <v>-70.966902000000005</v>
      </c>
      <c r="G5">
        <v>4.7074749999999996</v>
      </c>
      <c r="H5">
        <v>167</v>
      </c>
      <c r="I5" t="s">
        <v>9</v>
      </c>
      <c r="J5">
        <v>0</v>
      </c>
      <c r="K5">
        <v>14</v>
      </c>
      <c r="L5">
        <f t="shared" si="0"/>
        <v>7</v>
      </c>
      <c r="M5">
        <f t="shared" si="1"/>
        <v>14</v>
      </c>
      <c r="N5">
        <v>43.69</v>
      </c>
      <c r="O5">
        <v>1.41</v>
      </c>
      <c r="P5">
        <v>1.43</v>
      </c>
      <c r="Q5">
        <v>4</v>
      </c>
      <c r="R5">
        <v>20</v>
      </c>
    </row>
    <row r="6" spans="1:18" x14ac:dyDescent="0.25">
      <c r="A6">
        <v>5</v>
      </c>
      <c r="B6" t="s">
        <v>3</v>
      </c>
      <c r="C6" t="s">
        <v>5</v>
      </c>
      <c r="D6" t="s">
        <v>6</v>
      </c>
      <c r="E6" t="s">
        <v>8</v>
      </c>
      <c r="F6">
        <v>-71.816872000000004</v>
      </c>
      <c r="G6">
        <v>4.2612969999999999</v>
      </c>
      <c r="H6">
        <v>204</v>
      </c>
      <c r="I6" t="s">
        <v>11</v>
      </c>
      <c r="J6">
        <v>0</v>
      </c>
      <c r="K6">
        <v>15</v>
      </c>
      <c r="L6">
        <f t="shared" si="0"/>
        <v>7.5</v>
      </c>
      <c r="M6">
        <f t="shared" si="1"/>
        <v>15</v>
      </c>
      <c r="N6">
        <v>19.75</v>
      </c>
      <c r="O6">
        <v>1.4</v>
      </c>
      <c r="P6">
        <v>0.8</v>
      </c>
      <c r="Q6">
        <v>4</v>
      </c>
      <c r="R6">
        <v>19</v>
      </c>
    </row>
    <row r="7" spans="1:18" x14ac:dyDescent="0.25">
      <c r="A7">
        <v>6</v>
      </c>
      <c r="B7" t="s">
        <v>3</v>
      </c>
      <c r="C7" t="s">
        <v>5</v>
      </c>
      <c r="D7" t="s">
        <v>6</v>
      </c>
      <c r="E7" t="s">
        <v>8</v>
      </c>
      <c r="F7">
        <v>-71.816872000000004</v>
      </c>
      <c r="G7">
        <v>4.2612969999999999</v>
      </c>
      <c r="H7">
        <v>204</v>
      </c>
      <c r="I7" t="s">
        <v>22</v>
      </c>
      <c r="J7">
        <v>47</v>
      </c>
      <c r="K7">
        <v>105</v>
      </c>
      <c r="L7">
        <f t="shared" si="0"/>
        <v>76</v>
      </c>
      <c r="M7">
        <f t="shared" si="1"/>
        <v>58</v>
      </c>
      <c r="N7">
        <v>33.229999999999997</v>
      </c>
      <c r="O7">
        <v>1.56</v>
      </c>
      <c r="P7" s="2" t="s">
        <v>31</v>
      </c>
      <c r="Q7">
        <v>5</v>
      </c>
      <c r="R7">
        <v>19.2</v>
      </c>
    </row>
    <row r="8" spans="1:18" x14ac:dyDescent="0.25">
      <c r="A8">
        <v>7</v>
      </c>
      <c r="B8" t="s">
        <v>3</v>
      </c>
      <c r="C8" t="s">
        <v>5</v>
      </c>
      <c r="D8" t="s">
        <v>6</v>
      </c>
      <c r="E8" t="s">
        <v>8</v>
      </c>
      <c r="F8">
        <v>-71.816872000000004</v>
      </c>
      <c r="G8">
        <v>4.2612969999999999</v>
      </c>
      <c r="H8">
        <v>204</v>
      </c>
      <c r="I8" t="s">
        <v>12</v>
      </c>
      <c r="J8">
        <v>15</v>
      </c>
      <c r="K8">
        <v>47</v>
      </c>
      <c r="L8">
        <f t="shared" si="0"/>
        <v>31</v>
      </c>
      <c r="M8">
        <f t="shared" si="1"/>
        <v>32</v>
      </c>
      <c r="N8">
        <v>20.09</v>
      </c>
      <c r="O8">
        <v>1.62</v>
      </c>
      <c r="P8">
        <v>0.54</v>
      </c>
      <c r="Q8">
        <v>4.5</v>
      </c>
      <c r="R8">
        <v>19.399999999999999</v>
      </c>
    </row>
    <row r="9" spans="1:18" x14ac:dyDescent="0.25">
      <c r="A9">
        <v>8</v>
      </c>
      <c r="B9" t="s">
        <v>3</v>
      </c>
      <c r="C9" t="s">
        <v>5</v>
      </c>
      <c r="D9" t="s">
        <v>6</v>
      </c>
      <c r="E9" t="s">
        <v>8</v>
      </c>
      <c r="F9">
        <v>-71.816872000000004</v>
      </c>
      <c r="G9">
        <v>4.2612969999999999</v>
      </c>
      <c r="H9">
        <v>204</v>
      </c>
      <c r="I9" t="s">
        <v>13</v>
      </c>
      <c r="J9">
        <v>105</v>
      </c>
      <c r="K9">
        <v>150</v>
      </c>
      <c r="L9">
        <f t="shared" si="0"/>
        <v>127.5</v>
      </c>
      <c r="M9">
        <f t="shared" si="1"/>
        <v>45</v>
      </c>
      <c r="N9">
        <v>34.35</v>
      </c>
      <c r="O9">
        <v>1.53</v>
      </c>
      <c r="P9" s="2" t="s">
        <v>31</v>
      </c>
      <c r="Q9">
        <v>4.5</v>
      </c>
      <c r="R9">
        <v>18.899999999999999</v>
      </c>
    </row>
    <row r="10" spans="1:18" x14ac:dyDescent="0.25">
      <c r="A10">
        <v>9</v>
      </c>
      <c r="B10" t="s">
        <v>4</v>
      </c>
      <c r="C10" t="s">
        <v>5</v>
      </c>
      <c r="D10" t="s">
        <v>7</v>
      </c>
      <c r="E10" t="s">
        <v>8</v>
      </c>
      <c r="F10">
        <v>-71.571871000000002</v>
      </c>
      <c r="G10">
        <v>4.5740460000000001</v>
      </c>
      <c r="H10">
        <v>164</v>
      </c>
      <c r="I10" t="s">
        <v>11</v>
      </c>
      <c r="J10">
        <v>0</v>
      </c>
      <c r="K10">
        <v>23</v>
      </c>
      <c r="L10">
        <f t="shared" si="0"/>
        <v>11.5</v>
      </c>
      <c r="M10">
        <f t="shared" si="1"/>
        <v>23</v>
      </c>
      <c r="N10">
        <v>37.97</v>
      </c>
      <c r="O10">
        <v>1.35</v>
      </c>
      <c r="P10">
        <v>1.6</v>
      </c>
      <c r="Q10">
        <v>4.5</v>
      </c>
      <c r="R10">
        <v>18.600000000000001</v>
      </c>
    </row>
    <row r="11" spans="1:18" x14ac:dyDescent="0.25">
      <c r="A11">
        <v>10</v>
      </c>
      <c r="B11" t="s">
        <v>4</v>
      </c>
      <c r="C11" t="s">
        <v>5</v>
      </c>
      <c r="D11" t="s">
        <v>7</v>
      </c>
      <c r="E11" t="s">
        <v>8</v>
      </c>
      <c r="F11">
        <v>-71.571871000000002</v>
      </c>
      <c r="G11">
        <v>4.5740460000000001</v>
      </c>
      <c r="H11">
        <v>164</v>
      </c>
      <c r="I11" t="s">
        <v>10</v>
      </c>
      <c r="J11">
        <v>23</v>
      </c>
      <c r="K11">
        <v>44</v>
      </c>
      <c r="L11">
        <f t="shared" si="0"/>
        <v>33.5</v>
      </c>
      <c r="M11">
        <f t="shared" si="1"/>
        <v>21</v>
      </c>
      <c r="N11">
        <v>42.63</v>
      </c>
      <c r="O11">
        <v>1.45</v>
      </c>
      <c r="P11" s="2">
        <v>1.07</v>
      </c>
      <c r="Q11">
        <v>4.5</v>
      </c>
      <c r="R11">
        <v>18.399999999999999</v>
      </c>
    </row>
    <row r="12" spans="1:18" x14ac:dyDescent="0.25">
      <c r="A12">
        <v>11</v>
      </c>
      <c r="B12" t="s">
        <v>4</v>
      </c>
      <c r="C12" t="s">
        <v>5</v>
      </c>
      <c r="D12" t="s">
        <v>7</v>
      </c>
      <c r="E12" t="s">
        <v>8</v>
      </c>
      <c r="F12">
        <v>-71.571871000000002</v>
      </c>
      <c r="G12">
        <v>4.5740460000000001</v>
      </c>
      <c r="H12">
        <v>164</v>
      </c>
      <c r="I12" t="s">
        <v>13</v>
      </c>
      <c r="J12">
        <v>44</v>
      </c>
      <c r="K12">
        <v>103</v>
      </c>
      <c r="L12">
        <f t="shared" si="0"/>
        <v>73.5</v>
      </c>
      <c r="M12">
        <f t="shared" si="1"/>
        <v>59</v>
      </c>
      <c r="N12">
        <v>45.96</v>
      </c>
      <c r="O12">
        <v>1.58</v>
      </c>
      <c r="P12" t="s">
        <v>31</v>
      </c>
      <c r="Q12">
        <v>4.5</v>
      </c>
      <c r="R1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</dc:creator>
  <cp:lastModifiedBy>Par</cp:lastModifiedBy>
  <dcterms:created xsi:type="dcterms:W3CDTF">2026-06-24T12:33:28Z</dcterms:created>
  <dcterms:modified xsi:type="dcterms:W3CDTF">2026-06-24T15:29:18Z</dcterms:modified>
</cp:coreProperties>
</file>